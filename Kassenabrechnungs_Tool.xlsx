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feller/Downloads/BUNZAI/"/>
    </mc:Choice>
  </mc:AlternateContent>
  <xr:revisionPtr revIDLastSave="0" documentId="13_ncr:1_{633D2CC4-FBEA-FB4B-A5D9-5DC47E0E0868}" xr6:coauthVersionLast="47" xr6:coauthVersionMax="47" xr10:uidLastSave="{00000000-0000-0000-0000-000000000000}"/>
  <bookViews>
    <workbookView xWindow="0" yWindow="500" windowWidth="35840" windowHeight="20260" xr2:uid="{3EF1B1C8-00A9-6240-AC06-44F00B909B1B}"/>
  </bookViews>
  <sheets>
    <sheet name="Lochergut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6" l="1"/>
  <c r="C26" i="6"/>
  <c r="G6" i="6"/>
  <c r="C18" i="6"/>
  <c r="C12" i="6"/>
  <c r="C22" i="6" l="1"/>
  <c r="C24" i="6" s="1"/>
</calcChain>
</file>

<file path=xl/sharedStrings.xml><?xml version="1.0" encoding="utf-8"?>
<sst xmlns="http://schemas.openxmlformats.org/spreadsheetml/2006/main" count="25" uniqueCount="25">
  <si>
    <t>Umsatz</t>
  </si>
  <si>
    <t>- Karte</t>
  </si>
  <si>
    <t>- Twint</t>
  </si>
  <si>
    <t>- Storno</t>
  </si>
  <si>
    <t>Kasse Tagesbericht</t>
  </si>
  <si>
    <t>Karte Tagesabschluss (ohne Trinkgeld)</t>
  </si>
  <si>
    <t>Soll Bargeldumsatz</t>
  </si>
  <si>
    <t>Position</t>
  </si>
  <si>
    <t>Betrag</t>
  </si>
  <si>
    <t>Comment</t>
  </si>
  <si>
    <t>Kasse Endbestand</t>
  </si>
  <si>
    <t>- Kasse Anfangsbestand</t>
  </si>
  <si>
    <t>Ist Bargeldumsatz</t>
  </si>
  <si>
    <t>&gt;= Soll Bargeldumsatz</t>
  </si>
  <si>
    <t>Trinkgeld (Karte)</t>
  </si>
  <si>
    <t>Trinkgeld (Bar)</t>
  </si>
  <si>
    <t>Trinkgeld (Total)</t>
  </si>
  <si>
    <t>Ist Bestand - Soll Bestand</t>
  </si>
  <si>
    <t>Kassenabbrechnung Bunzai (Kristian)</t>
  </si>
  <si>
    <t>Trinkgeld Karte</t>
  </si>
  <si>
    <t>Trinkgeld Schlüssel</t>
  </si>
  <si>
    <t>Küche</t>
  </si>
  <si>
    <t>Front / Cashier</t>
  </si>
  <si>
    <t>Trinkgeld Küche</t>
  </si>
  <si>
    <t>Trinkgeld Front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</si>
</sst>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CHF&quot;\ * #,##0.00_ ;_ &quot;CHF&quot;\ * \-#,##0.00_ ;_ &quot;CHF&quot;\ * &quot;-&quot;??_ ;_ @_ "/>
    <numFmt numFmtId="164" formatCode="0.0%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49" fontId="0" fillId="0" borderId="1" xfId="0" applyNumberFormat="1" applyBorder="1"/>
    <xf numFmtId="49" fontId="0" fillId="0" borderId="0" xfId="0" applyNumberFormat="1"/>
    <xf numFmtId="49" fontId="1" fillId="2" borderId="1" xfId="0" applyNumberFormat="1" applyFont="1" applyFill="1" applyBorder="1"/>
    <xf numFmtId="0" fontId="1" fillId="2" borderId="1" xfId="0" applyFont="1" applyFill="1" applyBorder="1"/>
    <xf numFmtId="44" fontId="0" fillId="0" borderId="1" xfId="1" applyFont="1" applyBorder="1"/>
    <xf numFmtId="44" fontId="1" fillId="2" borderId="1" xfId="1" applyFont="1" applyFill="1" applyBorder="1"/>
    <xf numFmtId="44" fontId="0" fillId="3" borderId="1" xfId="1" applyFont="1" applyFill="1" applyBorder="1"/>
    <xf numFmtId="14" fontId="1" fillId="0" borderId="1" xfId="0" applyNumberFormat="1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4" fontId="0" fillId="0" borderId="1" xfId="0" applyNumberFormat="1" applyBorder="1"/>
    <xf numFmtId="0" fontId="0" fillId="3" borderId="1" xfId="0" applyFill="1" applyBorder="1"/>
    <xf numFmtId="164" fontId="0" fillId="3" borderId="1" xfId="0" applyNumberFormat="1" applyFill="1" applyBorder="1"/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57B0B-0AF9-A649-A2D8-ACBD64E4A3BA}">
  <dimension ref="B3:G28"/>
  <sheetViews>
    <sheetView tabSelected="1" workbookViewId="0">
      <selection activeCell="D30" sqref="D30"/>
    </sheetView>
  </sheetViews>
  <sheetFormatPr baseColWidth="10" defaultRowHeight="16" x14ac:dyDescent="0.2"/>
  <cols>
    <col min="2" max="3" width="25.83203125" customWidth="1"/>
    <col min="4" max="4" width="45.83203125" customWidth="1"/>
    <col min="6" max="6" width="16.83203125" customWidth="1"/>
  </cols>
  <sheetData>
    <row r="3" spans="2:7" x14ac:dyDescent="0.2">
      <c r="B3" s="10" t="s">
        <v>18</v>
      </c>
      <c r="C3" s="11"/>
      <c r="D3" s="9">
        <v>46137</v>
      </c>
      <c r="F3" s="15" t="s">
        <v>20</v>
      </c>
      <c r="G3" s="16"/>
    </row>
    <row r="5" spans="2:7" x14ac:dyDescent="0.2">
      <c r="B5" s="1" t="s">
        <v>7</v>
      </c>
      <c r="C5" s="1" t="s">
        <v>8</v>
      </c>
      <c r="D5" s="1" t="s">
        <v>9</v>
      </c>
      <c r="F5" s="13" t="s">
        <v>22</v>
      </c>
      <c r="G5" s="14">
        <v>0.65</v>
      </c>
    </row>
    <row r="6" spans="2:7" x14ac:dyDescent="0.2">
      <c r="F6" s="1" t="s">
        <v>21</v>
      </c>
      <c r="G6" s="12">
        <f>100%-G5</f>
        <v>0.35</v>
      </c>
    </row>
    <row r="7" spans="2:7" x14ac:dyDescent="0.2">
      <c r="B7" s="1" t="s">
        <v>0</v>
      </c>
      <c r="C7" s="8">
        <v>3095</v>
      </c>
      <c r="D7" s="1" t="s">
        <v>4</v>
      </c>
    </row>
    <row r="8" spans="2:7" x14ac:dyDescent="0.2">
      <c r="B8" s="2" t="s">
        <v>1</v>
      </c>
      <c r="C8" s="8">
        <v>2566.5</v>
      </c>
      <c r="D8" s="1" t="s">
        <v>5</v>
      </c>
    </row>
    <row r="9" spans="2:7" x14ac:dyDescent="0.2">
      <c r="B9" s="2" t="s">
        <v>2</v>
      </c>
      <c r="C9" s="8">
        <v>278.5</v>
      </c>
      <c r="D9" s="1"/>
    </row>
    <row r="10" spans="2:7" x14ac:dyDescent="0.2">
      <c r="B10" s="2" t="s">
        <v>3</v>
      </c>
      <c r="C10" s="8">
        <v>0</v>
      </c>
      <c r="D10" s="1"/>
    </row>
    <row r="12" spans="2:7" x14ac:dyDescent="0.2">
      <c r="B12" s="4" t="s">
        <v>6</v>
      </c>
      <c r="C12" s="7">
        <f>C7-C8-C9-C10</f>
        <v>250</v>
      </c>
    </row>
    <row r="15" spans="2:7" x14ac:dyDescent="0.2">
      <c r="B15" s="1" t="s">
        <v>10</v>
      </c>
      <c r="C15" s="8">
        <v>591</v>
      </c>
      <c r="D15" s="1"/>
    </row>
    <row r="16" spans="2:7" x14ac:dyDescent="0.2">
      <c r="B16" s="2" t="s">
        <v>11</v>
      </c>
      <c r="C16" s="8">
        <v>338.5</v>
      </c>
      <c r="D16" s="1"/>
    </row>
    <row r="17" spans="2:4" x14ac:dyDescent="0.2">
      <c r="B17" s="3"/>
    </row>
    <row r="18" spans="2:4" x14ac:dyDescent="0.2">
      <c r="B18" s="4" t="s">
        <v>12</v>
      </c>
      <c r="C18" s="7">
        <f>C15-C16</f>
        <v>252.5</v>
      </c>
      <c r="D18" s="1" t="s">
        <v>13</v>
      </c>
    </row>
    <row r="21" spans="2:4" x14ac:dyDescent="0.2">
      <c r="B21" s="1" t="s">
        <v>14</v>
      </c>
      <c r="C21" s="8">
        <v>32.29</v>
      </c>
      <c r="D21" s="1" t="s">
        <v>19</v>
      </c>
    </row>
    <row r="22" spans="2:4" x14ac:dyDescent="0.2">
      <c r="B22" s="1" t="s">
        <v>15</v>
      </c>
      <c r="C22" s="6">
        <f>C18-C12</f>
        <v>2.5</v>
      </c>
      <c r="D22" s="1" t="s">
        <v>17</v>
      </c>
    </row>
    <row r="24" spans="2:4" x14ac:dyDescent="0.2">
      <c r="B24" s="5" t="s">
        <v>16</v>
      </c>
      <c r="C24" s="7">
        <f>C21+C22</f>
        <v>34.79</v>
      </c>
    </row>
    <row r="26" spans="2:4" x14ac:dyDescent="0.2">
      <c r="B26" s="5" t="s">
        <v>24</v>
      </c>
      <c r="C26" s="7">
        <f>C24*$G$5</f>
        <v>22.613500000000002</v>
      </c>
    </row>
    <row r="28" spans="2:4" x14ac:dyDescent="0.2">
      <c r="B28" s="5" t="s">
        <v>23</v>
      </c>
      <c r="C28" s="7">
        <f>C24*$G$6</f>
        <v>12.176499999999999</v>
      </c>
    </row>
  </sheetData>
  <mergeCells count="2">
    <mergeCell ref="B3:C3"/>
    <mergeCell ref="F3:G3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Lochergut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Kristian Feller</dc:creator>
  <cp:keywords/>
  <dc:description/>
  <cp:lastModifiedBy>Kristian Feller</cp:lastModifiedBy>
  <dcterms:created xsi:type="dcterms:W3CDTF">2025-09-13T07:16:21Z</dcterms:created>
  <dcterms:modified xsi:type="dcterms:W3CDTF">2026-04-25T08:42:48Z</dcterms:modified>
  <cp:category/>
</cp:coreProperties>
</file>